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E:\Apps\AutodeskInventor\University\MCT333_Design_of_Mechatronics_Systems_1\CAD\"/>
    </mc:Choice>
  </mc:AlternateContent>
  <xr:revisionPtr revIDLastSave="0" documentId="13_ncr:1_{6A2E7BA4-C49E-48A3-A208-F1745E04396F}" xr6:coauthVersionLast="47" xr6:coauthVersionMax="47" xr10:uidLastSave="{00000000-0000-0000-0000-000000000000}"/>
  <bookViews>
    <workbookView xWindow="8328" yWindow="624" windowWidth="11664" windowHeight="11436" xr2:uid="{892A131F-3A33-47C6-BFB2-0EFCFF39DA2C}"/>
  </bookViews>
  <sheets>
    <sheet name="DESIGN1_CAD_parameters(Sheet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B16" i="1"/>
  <c r="B13" i="1"/>
  <c r="B29" i="1"/>
  <c r="B7" i="1"/>
  <c r="B11" i="1"/>
  <c r="B17" i="1"/>
  <c r="B22" i="1"/>
</calcChain>
</file>

<file path=xl/sharedStrings.xml><?xml version="1.0" encoding="utf-8"?>
<sst xmlns="http://schemas.openxmlformats.org/spreadsheetml/2006/main" count="80" uniqueCount="41">
  <si>
    <t>Product_dia</t>
  </si>
  <si>
    <t>mm</t>
  </si>
  <si>
    <t>ProductBaseHeight</t>
  </si>
  <si>
    <t>ProductLedHeight</t>
  </si>
  <si>
    <t>GridBorderThickness</t>
  </si>
  <si>
    <t>GridBorderFillets</t>
  </si>
  <si>
    <t>GridTotalSize</t>
  </si>
  <si>
    <t>GridProcutClearance</t>
  </si>
  <si>
    <t>GridRobotClearance</t>
  </si>
  <si>
    <t>AluminiumExtrusionBase</t>
  </si>
  <si>
    <t>AluminiumExtrusionClearance</t>
  </si>
  <si>
    <t>BaseTotalWidth</t>
  </si>
  <si>
    <t>FeedingAreaLength</t>
  </si>
  <si>
    <t>BaseTotalLength</t>
  </si>
  <si>
    <t>DistanceBetweenGrid</t>
  </si>
  <si>
    <t>WorkspaceWidth</t>
  </si>
  <si>
    <t>WorkspaceLength</t>
  </si>
  <si>
    <t>WorkspaceHeight</t>
  </si>
  <si>
    <t>AxesBaseFillet</t>
  </si>
  <si>
    <t>Zaxis</t>
  </si>
  <si>
    <t>ProductTotalHeight</t>
  </si>
  <si>
    <t>VerticalClearance</t>
  </si>
  <si>
    <t>VerticalStroke</t>
  </si>
  <si>
    <t>BackArea</t>
  </si>
  <si>
    <t>FrontArea</t>
  </si>
  <si>
    <t>CylinderStroke</t>
  </si>
  <si>
    <t>SideAreaWidth</t>
  </si>
  <si>
    <t>BaseHeight</t>
  </si>
  <si>
    <t>BoxesClearance</t>
  </si>
  <si>
    <t>BoxesWidth</t>
  </si>
  <si>
    <t>PowerBoxLength</t>
  </si>
  <si>
    <t>PneumaticBoxLength</t>
  </si>
  <si>
    <t>ContolBoxLength</t>
  </si>
  <si>
    <t>DistanceBetweenBoxes</t>
  </si>
  <si>
    <t>BoxesHeight</t>
  </si>
  <si>
    <t>ContolBoxWidth</t>
  </si>
  <si>
    <t>ControlBoxHeight</t>
  </si>
  <si>
    <t>BaseWoodThickness</t>
  </si>
  <si>
    <t>Kerf</t>
  </si>
  <si>
    <t>TransmitterAreaWidth</t>
  </si>
  <si>
    <t>RxThickness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</si>
</sst>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242424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3E246-7957-4EF1-A1E5-E58A01B1F4E8}">
  <dimension ref="A1:C40"/>
  <sheetViews>
    <sheetView tabSelected="1" topLeftCell="A7" workbookViewId="0">
      <selection activeCell="B12" sqref="B12"/>
    </sheetView>
  </sheetViews>
  <sheetFormatPr defaultRowHeight="14.4" x14ac:dyDescent="0.3"/>
  <cols>
    <col min="1" max="1" width="25.6640625" bestFit="1" customWidth="1"/>
  </cols>
  <sheetData>
    <row r="1" spans="1:3" x14ac:dyDescent="0.3">
      <c r="A1" t="s">
        <v>0</v>
      </c>
      <c r="B1">
        <v>50</v>
      </c>
      <c r="C1" t="s">
        <v>1</v>
      </c>
    </row>
    <row r="2" spans="1:3" x14ac:dyDescent="0.3">
      <c r="A2" t="s">
        <v>2</v>
      </c>
      <c r="B2">
        <v>40</v>
      </c>
      <c r="C2" t="s">
        <v>1</v>
      </c>
    </row>
    <row r="3" spans="1:3" x14ac:dyDescent="0.3">
      <c r="A3" t="s">
        <v>3</v>
      </c>
      <c r="B3">
        <v>20</v>
      </c>
      <c r="C3" t="s">
        <v>1</v>
      </c>
    </row>
    <row r="4" spans="1:3" x14ac:dyDescent="0.3">
      <c r="A4" t="s">
        <v>7</v>
      </c>
      <c r="B4">
        <v>3</v>
      </c>
      <c r="C4" t="s">
        <v>1</v>
      </c>
    </row>
    <row r="5" spans="1:3" x14ac:dyDescent="0.3">
      <c r="A5" t="s">
        <v>4</v>
      </c>
      <c r="B5">
        <v>5</v>
      </c>
      <c r="C5" t="s">
        <v>1</v>
      </c>
    </row>
    <row r="6" spans="1:3" x14ac:dyDescent="0.3">
      <c r="A6" t="s">
        <v>5</v>
      </c>
      <c r="B6">
        <v>7</v>
      </c>
      <c r="C6" t="s">
        <v>1</v>
      </c>
    </row>
    <row r="7" spans="1:3" x14ac:dyDescent="0.3">
      <c r="A7" t="s">
        <v>6</v>
      </c>
      <c r="B7">
        <f>B1+B4+(2*B5)</f>
        <v>63</v>
      </c>
      <c r="C7" t="s">
        <v>1</v>
      </c>
    </row>
    <row r="8" spans="1:3" x14ac:dyDescent="0.3">
      <c r="A8" t="s">
        <v>8</v>
      </c>
      <c r="B8">
        <v>50</v>
      </c>
      <c r="C8" t="s">
        <v>1</v>
      </c>
    </row>
    <row r="9" spans="1:3" x14ac:dyDescent="0.3">
      <c r="A9" t="s">
        <v>9</v>
      </c>
      <c r="B9">
        <v>20</v>
      </c>
      <c r="C9" t="s">
        <v>1</v>
      </c>
    </row>
    <row r="10" spans="1:3" x14ac:dyDescent="0.3">
      <c r="A10" t="s">
        <v>10</v>
      </c>
      <c r="B10">
        <v>30</v>
      </c>
      <c r="C10" t="s">
        <v>1</v>
      </c>
    </row>
    <row r="11" spans="1:3" x14ac:dyDescent="0.3">
      <c r="A11" t="s">
        <v>11</v>
      </c>
      <c r="B11">
        <f>(4*B7)+(2*(B8+B9+B10))+B26</f>
        <v>652</v>
      </c>
      <c r="C11" t="s">
        <v>1</v>
      </c>
    </row>
    <row r="12" spans="1:3" x14ac:dyDescent="0.3">
      <c r="A12" t="s">
        <v>12</v>
      </c>
      <c r="B12">
        <v>400</v>
      </c>
      <c r="C12" t="s">
        <v>1</v>
      </c>
    </row>
    <row r="13" spans="1:3" x14ac:dyDescent="0.3">
      <c r="A13" t="s">
        <v>13</v>
      </c>
      <c r="B13">
        <f>(2*B10)+B23+B24+(4*B7)+B12</f>
        <v>912</v>
      </c>
      <c r="C13" t="s">
        <v>1</v>
      </c>
    </row>
    <row r="14" spans="1:3" x14ac:dyDescent="0.3">
      <c r="A14" t="s">
        <v>14</v>
      </c>
      <c r="B14">
        <v>5</v>
      </c>
      <c r="C14" t="s">
        <v>1</v>
      </c>
    </row>
    <row r="15" spans="1:3" x14ac:dyDescent="0.3">
      <c r="A15" t="s">
        <v>16</v>
      </c>
      <c r="B15">
        <f>(4*B7)+B23+B24+(2*B9)+(2*B10)</f>
        <v>552</v>
      </c>
      <c r="C15" t="s">
        <v>1</v>
      </c>
    </row>
    <row r="16" spans="1:3" x14ac:dyDescent="0.3">
      <c r="A16" t="s">
        <v>15</v>
      </c>
      <c r="B16">
        <f>(4*B7)+(2.5*B8)+(2*B9)</f>
        <v>417</v>
      </c>
      <c r="C16" t="s">
        <v>1</v>
      </c>
    </row>
    <row r="17" spans="1:3" x14ac:dyDescent="0.3">
      <c r="A17" t="s">
        <v>17</v>
      </c>
      <c r="B17">
        <f>B20+B21+(B19/2)</f>
        <v>166.5</v>
      </c>
      <c r="C17" t="s">
        <v>1</v>
      </c>
    </row>
    <row r="18" spans="1:3" x14ac:dyDescent="0.3">
      <c r="A18" t="s">
        <v>18</v>
      </c>
      <c r="B18">
        <v>15</v>
      </c>
      <c r="C18" t="s">
        <v>1</v>
      </c>
    </row>
    <row r="19" spans="1:3" x14ac:dyDescent="0.3">
      <c r="A19" t="s">
        <v>19</v>
      </c>
      <c r="B19">
        <v>223</v>
      </c>
      <c r="C19" t="s">
        <v>1</v>
      </c>
    </row>
    <row r="20" spans="1:3" x14ac:dyDescent="0.3">
      <c r="A20" t="s">
        <v>20</v>
      </c>
      <c r="B20">
        <v>45</v>
      </c>
      <c r="C20" t="s">
        <v>1</v>
      </c>
    </row>
    <row r="21" spans="1:3" x14ac:dyDescent="0.3">
      <c r="A21" t="s">
        <v>21</v>
      </c>
      <c r="B21">
        <v>10</v>
      </c>
      <c r="C21" t="s">
        <v>1</v>
      </c>
    </row>
    <row r="22" spans="1:3" x14ac:dyDescent="0.3">
      <c r="A22" s="1" t="s">
        <v>22</v>
      </c>
      <c r="B22">
        <f>B20+2*B21+B2-B3</f>
        <v>85</v>
      </c>
      <c r="C22" t="s">
        <v>1</v>
      </c>
    </row>
    <row r="23" spans="1:3" x14ac:dyDescent="0.3">
      <c r="A23" t="s">
        <v>24</v>
      </c>
      <c r="B23">
        <v>50</v>
      </c>
      <c r="C23" t="s">
        <v>1</v>
      </c>
    </row>
    <row r="24" spans="1:3" x14ac:dyDescent="0.3">
      <c r="A24" t="s">
        <v>23</v>
      </c>
      <c r="B24">
        <v>150</v>
      </c>
      <c r="C24" t="s">
        <v>1</v>
      </c>
    </row>
    <row r="25" spans="1:3" x14ac:dyDescent="0.3">
      <c r="A25" t="s">
        <v>25</v>
      </c>
      <c r="B25">
        <v>75</v>
      </c>
      <c r="C25" t="s">
        <v>1</v>
      </c>
    </row>
    <row r="26" spans="1:3" x14ac:dyDescent="0.3">
      <c r="A26" t="s">
        <v>26</v>
      </c>
      <c r="B26">
        <v>200</v>
      </c>
      <c r="C26" t="s">
        <v>1</v>
      </c>
    </row>
    <row r="27" spans="1:3" x14ac:dyDescent="0.3">
      <c r="A27" t="s">
        <v>27</v>
      </c>
      <c r="B27">
        <v>70</v>
      </c>
      <c r="C27" t="s">
        <v>1</v>
      </c>
    </row>
    <row r="28" spans="1:3" x14ac:dyDescent="0.3">
      <c r="A28" t="s">
        <v>28</v>
      </c>
      <c r="B28">
        <v>30</v>
      </c>
      <c r="C28" t="s">
        <v>1</v>
      </c>
    </row>
    <row r="29" spans="1:3" x14ac:dyDescent="0.3">
      <c r="A29" t="s">
        <v>29</v>
      </c>
      <c r="B29">
        <f>B26-(B28+B10)</f>
        <v>140</v>
      </c>
      <c r="C29" t="s">
        <v>1</v>
      </c>
    </row>
    <row r="30" spans="1:3" x14ac:dyDescent="0.3">
      <c r="A30" t="s">
        <v>30</v>
      </c>
      <c r="B30">
        <v>630</v>
      </c>
      <c r="C30" t="s">
        <v>1</v>
      </c>
    </row>
    <row r="31" spans="1:3" x14ac:dyDescent="0.3">
      <c r="A31" t="s">
        <v>31</v>
      </c>
      <c r="B31">
        <v>200</v>
      </c>
      <c r="C31" t="s">
        <v>1</v>
      </c>
    </row>
    <row r="32" spans="1:3" x14ac:dyDescent="0.3">
      <c r="A32" t="s">
        <v>32</v>
      </c>
      <c r="B32">
        <v>100</v>
      </c>
      <c r="C32" t="s">
        <v>1</v>
      </c>
    </row>
    <row r="33" spans="1:3" x14ac:dyDescent="0.3">
      <c r="A33" t="s">
        <v>33</v>
      </c>
      <c r="B33">
        <v>30</v>
      </c>
      <c r="C33" t="s">
        <v>1</v>
      </c>
    </row>
    <row r="34" spans="1:3" x14ac:dyDescent="0.3">
      <c r="A34" t="s">
        <v>34</v>
      </c>
      <c r="B34">
        <v>70</v>
      </c>
      <c r="C34" t="s">
        <v>1</v>
      </c>
    </row>
    <row r="35" spans="1:3" x14ac:dyDescent="0.3">
      <c r="A35" t="s">
        <v>35</v>
      </c>
      <c r="B35">
        <v>200</v>
      </c>
      <c r="C35" t="s">
        <v>1</v>
      </c>
    </row>
    <row r="36" spans="1:3" x14ac:dyDescent="0.3">
      <c r="A36" t="s">
        <v>36</v>
      </c>
      <c r="B36">
        <v>70</v>
      </c>
      <c r="C36" t="s">
        <v>1</v>
      </c>
    </row>
    <row r="37" spans="1:3" x14ac:dyDescent="0.3">
      <c r="A37" t="s">
        <v>37</v>
      </c>
      <c r="B37">
        <v>7</v>
      </c>
      <c r="C37" t="s">
        <v>1</v>
      </c>
    </row>
    <row r="38" spans="1:3" x14ac:dyDescent="0.3">
      <c r="A38" t="s">
        <v>38</v>
      </c>
      <c r="B38">
        <v>0.3</v>
      </c>
      <c r="C38" t="s">
        <v>1</v>
      </c>
    </row>
    <row r="39" spans="1:3" x14ac:dyDescent="0.3">
      <c r="A39" t="s">
        <v>39</v>
      </c>
      <c r="B39">
        <v>100</v>
      </c>
      <c r="C39" t="s">
        <v>1</v>
      </c>
    </row>
    <row r="40" spans="1:3" x14ac:dyDescent="0.3">
      <c r="A40" t="s">
        <v>40</v>
      </c>
      <c r="B40">
        <v>1.8</v>
      </c>
      <c r="C40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DESIGN1_CAD_parameters(Sheet1)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SDS Scholar</dc:creator>
  <cp:lastModifiedBy>Abdulrahman Khaled Ahmed Elish 24P0465</cp:lastModifiedBy>
  <dcterms:created xsi:type="dcterms:W3CDTF">2026-09-29T07:33:01Z</dcterms:created>
  <dcterms:modified xsi:type="dcterms:W3CDTF">2026-10-20T23:55:31Z</dcterms:modified>
</cp:coreProperties>
</file>